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141194\Desktop\roadmap_stoma_sense\"/>
    </mc:Choice>
  </mc:AlternateContent>
  <xr:revisionPtr revIDLastSave="20" documentId="13_ncr:20001_{5B1ACDBB-B327-400C-9A06-6DEC164BA4CE}" xr6:coauthVersionLast="47" xr6:coauthVersionMax="47" xr10:uidLastSave="{E82190EC-D565-47C9-A967-34A9827C4015}"/>
  <bookViews>
    <workbookView xWindow="-96" yWindow="-96" windowWidth="23232" windowHeight="13872" xr2:uid="{00000000-000D-0000-FFFF-FFFF00000000}"/>
  </bookViews>
  <sheets>
    <sheet name="Planificación" sheetId="1" r:id="rId1"/>
    <sheet name="Leyenda" sheetId="2" r:id="rId2"/>
  </sheets>
  <definedNames>
    <definedName name="_xlnm._FilterDatabase" localSheetId="0" hidden="1">Planificación!$A$3:$N$47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7" i="1"/>
  <c r="J8" i="1"/>
  <c r="J6" i="1"/>
  <c r="J5" i="1"/>
  <c r="J4" i="1"/>
</calcChain>
</file>

<file path=xl/sharedStrings.xml><?xml version="1.0" encoding="utf-8"?>
<sst xmlns="http://schemas.openxmlformats.org/spreadsheetml/2006/main" count="381" uniqueCount="154">
  <si>
    <t>STOMASENSE – ROADMAP DE PRIORIDADES 2026</t>
  </si>
  <si>
    <t>Generado: 17/03/2026  |  Bloques: [3 Meses Mar-May 2026] y [May-Oct 2026]</t>
  </si>
  <si>
    <t>ID</t>
  </si>
  <si>
    <t>Bloque</t>
  </si>
  <si>
    <t>Proyecto</t>
  </si>
  <si>
    <t>Categoría</t>
  </si>
  <si>
    <t>Tarea</t>
  </si>
  <si>
    <t>Descripción</t>
  </si>
  <si>
    <t>Responsable</t>
  </si>
  <si>
    <t>Inicio</t>
  </si>
  <si>
    <t>Fin</t>
  </si>
  <si>
    <t>Días</t>
  </si>
  <si>
    <t>% Avance</t>
  </si>
  <si>
    <t>Estado</t>
  </si>
  <si>
    <t>Notas</t>
  </si>
  <si>
    <t>Actualizado</t>
  </si>
  <si>
    <t>3 Months (Mar-May 2026)</t>
  </si>
  <si>
    <t>Teledetección – Feedback PSH</t>
  </si>
  <si>
    <t>Web</t>
  </si>
  <si>
    <t>Backlog Stoma Sense</t>
  </si>
  <si>
    <t>Revisión de issues reportados en módulo de teledetección (NDVI+, Hydro Plus, Smart Growth, Weed Detection) + metricas</t>
  </si>
  <si>
    <t>Equipo IA</t>
  </si>
  <si>
    <t>En Progreso</t>
  </si>
  <si>
    <t>17/03/2026</t>
  </si>
  <si>
    <t>Curvas potenciales y SGI</t>
  </si>
  <si>
    <t>Curvas potenciales y rangos de reclasificacion corregidos para el calculo de SGI</t>
  </si>
  <si>
    <t xml:space="preserve">Modelo de Humedad ajustado y validado </t>
  </si>
  <si>
    <t>Validacion de modelo CA con las nuevas muestras y Modelo MX promedio</t>
  </si>
  <si>
    <t>Equipo IA + Producto</t>
  </si>
  <si>
    <t xml:space="preserve">Modelo Cloudfill desplegado </t>
  </si>
  <si>
    <t>Version productiva y pruebas de coherencia temporal en las 5 unidades de negocio</t>
  </si>
  <si>
    <t>Producto</t>
  </si>
  <si>
    <t>Actualización de datos de clientes (Manual, Correo, API)</t>
  </si>
  <si>
    <t>Correcciones y mejoras identificadas en la sesión PSH</t>
  </si>
  <si>
    <t>Pendiente</t>
  </si>
  <si>
    <t xml:space="preserve">Migracion de clientes TA </t>
  </si>
  <si>
    <t xml:space="preserve">Migrar los clientes de TA al nuevo portal con todos los </t>
  </si>
  <si>
    <t xml:space="preserve">Migrar los modelos de los Clientes TA </t>
  </si>
  <si>
    <t>Migrar los modelos de los clientes de TA</t>
  </si>
  <si>
    <t>App Móvil Teledetección [E2E]</t>
  </si>
  <si>
    <t>Móvil</t>
  </si>
  <si>
    <t>Issue Review &amp; Diagnóstico</t>
  </si>
  <si>
    <t>entrega funcional y técnico de la app móvil end-to-end</t>
  </si>
  <si>
    <t>Integracion de dashboard completo.</t>
  </si>
  <si>
    <t>Dashbaord completo</t>
  </si>
  <si>
    <t>Movilidad Empresarial [Modelos|Lab|Op]</t>
  </si>
  <si>
    <t>Movilidad</t>
  </si>
  <si>
    <t>Modelos – Integración de modelos IA</t>
  </si>
  <si>
    <t>Integración de modelos existentes al flujo de movilidad empresarial</t>
  </si>
  <si>
    <t>Laboratorio – Configuración de ambiente</t>
  </si>
  <si>
    <t>Setup del entorno de laboratorio para pruebas de movilidad</t>
  </si>
  <si>
    <t>Laboratorio</t>
  </si>
  <si>
    <t>Operación – Flujo operativo</t>
  </si>
  <si>
    <t>Configuración y documentación del flujo operativo</t>
  </si>
  <si>
    <t>Operaciones</t>
  </si>
  <si>
    <t>Integración Modelos-Lab-Operación</t>
  </si>
  <si>
    <t>Articulación de los tres componentes en pipeline unificado</t>
  </si>
  <si>
    <t>Tech Lead</t>
  </si>
  <si>
    <t>Pruebas end-to-end</t>
  </si>
  <si>
    <t>Validación integral del flujo completo</t>
  </si>
  <si>
    <t>QA</t>
  </si>
  <si>
    <t>May-Oct 2026</t>
  </si>
  <si>
    <t>Modelos IA – Pol|Maduración|TCH|Caña</t>
  </si>
  <si>
    <t>Modelos IA</t>
  </si>
  <si>
    <t>Recopilación y limpieza de datos</t>
  </si>
  <si>
    <t>Consolidación de datasets históricos para entrenamiento de modelos</t>
  </si>
  <si>
    <t>Entrenamiento modelo Pol (polarimetría)</t>
  </si>
  <si>
    <t>Fejuste y entrenamiento del modelo de Pol en caña</t>
  </si>
  <si>
    <t>Data Science</t>
  </si>
  <si>
    <t>Entrenamiento modelo Maduración</t>
  </si>
  <si>
    <t>Modelo predictivo de maduración de caña</t>
  </si>
  <si>
    <t>Entrenamiento modelo TCH (Toneladas Caña/Ha)</t>
  </si>
  <si>
    <t>Predicción de rendimiento TCH</t>
  </si>
  <si>
    <t>Modelo Caña / No Caña (clasificación)</t>
  </si>
  <si>
    <t>Clasificador binario de presencia de caña en imágenes satelitales</t>
  </si>
  <si>
    <t>Validación y ajuste de modelos</t>
  </si>
  <si>
    <t>Validación cruzada, métricas en campo y ajuste de hiperparámetros</t>
  </si>
  <si>
    <t>MLOps</t>
  </si>
  <si>
    <t>Integración a plataforma</t>
  </si>
  <si>
    <t>Despliegue de modelos como microservicios en la plataforma</t>
  </si>
  <si>
    <t>Backend</t>
  </si>
  <si>
    <t>Frescura de Caña</t>
  </si>
  <si>
    <t>Diseño del modelo de frescura</t>
  </si>
  <si>
    <t>Definición de features, metodología y métricas del modelo</t>
  </si>
  <si>
    <t>Recolección de datos sensoriales</t>
  </si>
  <si>
    <t>Captura de datos en campo (imágenes, sensores, muestras)</t>
  </si>
  <si>
    <t>Campo</t>
  </si>
  <si>
    <t>Entrenamiento modelo frescura</t>
  </si>
  <si>
    <t>Entrenamiento y evaluación del modelo</t>
  </si>
  <si>
    <t>Validación en campo</t>
  </si>
  <si>
    <t>Pruebas reales y comparación con método convencional</t>
  </si>
  <si>
    <t>QA + Campo</t>
  </si>
  <si>
    <t>Despliegue productivo</t>
  </si>
  <si>
    <t>Publicación del modelo en producción</t>
  </si>
  <si>
    <t>DevOps</t>
  </si>
  <si>
    <t>Salud Financiera | Rentabilidad Fincas</t>
  </si>
  <si>
    <t>Levantamiento de indicadores financieros</t>
  </si>
  <si>
    <t>Definición de KPIs de rentabilidad y salud financiera por finca</t>
  </si>
  <si>
    <t>Negocio + IA</t>
  </si>
  <si>
    <t>Integración de datos financieros</t>
  </si>
  <si>
    <t>Conexión con fuentes de datos contables/ERP</t>
  </si>
  <si>
    <t>Desarrollo modelos predictivos financieros</t>
  </si>
  <si>
    <t>Modelos de predicción de rentabilidad y alertas de salud financiera</t>
  </si>
  <si>
    <t>Dashboard de rentabilidad y salud financiera</t>
  </si>
  <si>
    <t>Visualización interactiva de indicadores financieros por finca</t>
  </si>
  <si>
    <t>Frontend</t>
  </si>
  <si>
    <t>IoT Analytics – Telemetría [Riesgos]</t>
  </si>
  <si>
    <t>IoT Analytics</t>
  </si>
  <si>
    <t>Definición de alertas y umbrales de riesgo</t>
  </si>
  <si>
    <t>Catálogo de riesgos, umbrales y lógica de alertas IoT</t>
  </si>
  <si>
    <t>IoT Team</t>
  </si>
  <si>
    <t>Integración de sensores IoT</t>
  </si>
  <si>
    <t>Conexión y configuración de sensores de riego, clima, suelo</t>
  </si>
  <si>
    <t>Desarrollo dashboard de telemetría</t>
  </si>
  <si>
    <t>Panel en tiempo real de métricas y alertas de riesgo</t>
  </si>
  <si>
    <t>Testing y calibración de sensores</t>
  </si>
  <si>
    <t>Validación de precisión y calibración en campo</t>
  </si>
  <si>
    <t>Despliegue productivo telemetría</t>
  </si>
  <si>
    <t>Go-live del sistema de telemetría con alertas en producción</t>
  </si>
  <si>
    <t>IoT – Movilidad Empresarial [Avance Labores]</t>
  </si>
  <si>
    <t>Diseño del flujo de avance de labores</t>
  </si>
  <si>
    <t>Mapeo del proceso de reporte de avance de labores en campo</t>
  </si>
  <si>
    <t>Integración con módulos existentes</t>
  </si>
  <si>
    <t>Conexión con módulos operacionales y de movilidad ya desplegados</t>
  </si>
  <si>
    <t>Pruebas con usuarios (UAT)</t>
  </si>
  <si>
    <t>Sesiones de prueba con usuarios de campo, iteraciones</t>
  </si>
  <si>
    <t>QA + Usuarios</t>
  </si>
  <si>
    <t>Ajustes finales y despliegue</t>
  </si>
  <si>
    <t>Correcciones post-UAT y go-live</t>
  </si>
  <si>
    <t>Módulo Operacional – Módulo de Riego</t>
  </si>
  <si>
    <t>Módulo Operacional</t>
  </si>
  <si>
    <t>Requerimientos y diseño funcional</t>
  </si>
  <si>
    <t>Especificación funcional y técnica del módulo de riego</t>
  </si>
  <si>
    <t>Producto + IoT</t>
  </si>
  <si>
    <t>Desarrollo core del módulo</t>
  </si>
  <si>
    <t>Implementación de lógica de negocio, algoritmos de riego</t>
  </si>
  <si>
    <t>Backend + IoT</t>
  </si>
  <si>
    <t>Dependencia: telemetría</t>
  </si>
  <si>
    <t>Integración con telemetría de sensores</t>
  </si>
  <si>
    <t>Conexión con sensores de humedad, clima y actuadores de riego</t>
  </si>
  <si>
    <t>Testing en campo</t>
  </si>
  <si>
    <t>Pruebas reales en fincas piloto</t>
  </si>
  <si>
    <t>Despliegue y capacitación</t>
  </si>
  <si>
    <t>Go-live, documentación y capacitación a usuarios finales</t>
  </si>
  <si>
    <t>COLOR ESTADO</t>
  </si>
  <si>
    <t>SIGNIFICADO</t>
  </si>
  <si>
    <t>Tarea no iniciada</t>
  </si>
  <si>
    <t>Tarea en ejecución activa</t>
  </si>
  <si>
    <t>Completado</t>
  </si>
  <si>
    <t>Tarea finalizada</t>
  </si>
  <si>
    <t>Bloqueado</t>
  </si>
  <si>
    <t>Tarea detenida por impedimento</t>
  </si>
  <si>
    <t>En Revisión</t>
  </si>
  <si>
    <t>Tarea en fase de revisión/aprobación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</si>
</sst>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B9BD5"/>
      </patternFill>
    </fill>
    <fill>
      <patternFill patternType="solid">
        <fgColor rgb="FFA6A6A6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ill>
        <patternFill patternType="none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EE949-8DB6-4AB6-B75B-8C818D89B4ED}" name="Tabla1" displayName="Tabla1" ref="A3:N47" totalsRowShown="0" headerRowDxfId="16" dataDxfId="15" tableBorderDxfId="14">
  <autoFilter ref="A3:N47" xr:uid="{00000000-0001-0000-0000-000000000000}"/>
  <tableColumns count="14">
    <tableColumn id="1" xr3:uid="{A792A13F-07B2-4DE9-AECE-E0C5BB01A358}" name="ID" dataDxfId="13"/>
    <tableColumn id="2" xr3:uid="{9F2A0000-8EF2-487A-9FDD-858EFAE9F037}" name="Bloque" dataDxfId="12"/>
    <tableColumn id="3" xr3:uid="{1D8DB0BA-84B1-4334-BFA2-127C091E4D16}" name="Proyecto" dataDxfId="11"/>
    <tableColumn id="4" xr3:uid="{0B69C8AB-0503-4B7B-A9DF-58AB50B256DF}" name="Categoría" dataDxfId="10"/>
    <tableColumn id="5" xr3:uid="{39B1F119-31D8-4499-8D4B-A51B5458AA8C}" name="Tarea" dataDxfId="9"/>
    <tableColumn id="6" xr3:uid="{9F142406-B994-47E6-840C-8491D6D8D559}" name="Descripción" dataDxfId="8"/>
    <tableColumn id="7" xr3:uid="{F9ED622E-80F7-4A88-A872-E8FF74A991FD}" name="Responsable" dataDxfId="7"/>
    <tableColumn id="8" xr3:uid="{8F24EC63-B8D7-4496-86A7-E75BD6E933ED}" name="Inicio" dataDxfId="6"/>
    <tableColumn id="9" xr3:uid="{DAE7E4B7-66F7-41A2-ABD9-B18B458923ED}" name="Fin" dataDxfId="5"/>
    <tableColumn id="10" xr3:uid="{95E0721E-7077-4622-8A41-57668703507C}" name="Días" dataDxfId="4"/>
    <tableColumn id="11" xr3:uid="{987E19B4-F1D9-4EEA-A5C8-2DBE043D3A38}" name="% Avance" dataDxfId="3"/>
    <tableColumn id="12" xr3:uid="{E5B48F25-FC29-42DD-9A79-2C47CACAD311}" name="Estado" dataDxfId="2"/>
    <tableColumn id="13" xr3:uid="{D08391B8-6C14-47F7-819A-3EC541FD019C}" name="Notas" dataDxfId="1"/>
    <tableColumn id="14" xr3:uid="{808364A1-7B26-4468-A5E9-F6799532C440}" name="Actualiz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7"/>
  <sheetViews>
    <sheetView tabSelected="1" topLeftCell="D1" workbookViewId="0">
      <pane ySplit="3" topLeftCell="A4" activePane="bottomLeft" state="frozen"/>
      <selection pane="bottomLeft" activeCell="F5" sqref="F5"/>
    </sheetView>
  </sheetViews>
  <sheetFormatPr defaultRowHeight="15"/>
  <cols>
    <col min="1" max="1" width="6.7109375" bestFit="1" customWidth="1"/>
    <col min="2" max="2" width="20" customWidth="1"/>
    <col min="3" max="3" width="32" customWidth="1"/>
    <col min="4" max="4" width="20" customWidth="1"/>
    <col min="5" max="5" width="38" customWidth="1"/>
    <col min="6" max="6" width="50" customWidth="1"/>
    <col min="7" max="7" width="20" customWidth="1"/>
    <col min="8" max="9" width="13" customWidth="1"/>
    <col min="10" max="10" width="7" customWidth="1"/>
    <col min="11" max="11" width="10.85546875" customWidth="1"/>
    <col min="12" max="12" width="14" customWidth="1"/>
    <col min="13" max="13" width="30" customWidth="1"/>
    <col min="14" max="14" width="14" customWidth="1"/>
  </cols>
  <sheetData>
    <row r="1" spans="1:14" ht="32.1" customHeight="1">
      <c r="A1" s="10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18" customHeight="1">
      <c r="A2" s="9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21.95" customHeight="1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7.95" customHeight="1">
      <c r="A4" s="12">
        <v>1</v>
      </c>
      <c r="B4" s="13" t="s">
        <v>16</v>
      </c>
      <c r="C4" s="13" t="s">
        <v>17</v>
      </c>
      <c r="D4" s="13" t="s">
        <v>18</v>
      </c>
      <c r="E4" s="13" t="s">
        <v>19</v>
      </c>
      <c r="F4" s="13" t="s">
        <v>20</v>
      </c>
      <c r="G4" s="13" t="s">
        <v>21</v>
      </c>
      <c r="H4" s="14">
        <v>46098</v>
      </c>
      <c r="I4" s="14">
        <v>46108</v>
      </c>
      <c r="J4" s="15">
        <f>+I4-H4</f>
        <v>10</v>
      </c>
      <c r="K4" s="12">
        <v>50</v>
      </c>
      <c r="L4" s="16" t="s">
        <v>22</v>
      </c>
      <c r="M4" s="13"/>
      <c r="N4" s="12" t="s">
        <v>23</v>
      </c>
    </row>
    <row r="5" spans="1:14" ht="27.95" customHeight="1">
      <c r="A5" s="12">
        <v>2</v>
      </c>
      <c r="B5" s="13" t="s">
        <v>16</v>
      </c>
      <c r="C5" s="13" t="s">
        <v>17</v>
      </c>
      <c r="D5" s="13" t="s">
        <v>18</v>
      </c>
      <c r="E5" s="13" t="s">
        <v>24</v>
      </c>
      <c r="F5" s="13" t="s">
        <v>25</v>
      </c>
      <c r="G5" s="13" t="s">
        <v>21</v>
      </c>
      <c r="H5" s="14">
        <v>46091</v>
      </c>
      <c r="I5" s="14">
        <v>46101</v>
      </c>
      <c r="J5" s="15">
        <f>+I5-H5</f>
        <v>10</v>
      </c>
      <c r="K5" s="12">
        <v>80</v>
      </c>
      <c r="L5" s="16" t="s">
        <v>22</v>
      </c>
      <c r="M5" s="13"/>
      <c r="N5" s="12" t="s">
        <v>23</v>
      </c>
    </row>
    <row r="6" spans="1:14" ht="27.95" customHeight="1">
      <c r="A6" s="12">
        <v>3</v>
      </c>
      <c r="B6" s="13" t="s">
        <v>16</v>
      </c>
      <c r="C6" s="13" t="s">
        <v>17</v>
      </c>
      <c r="D6" s="13" t="s">
        <v>18</v>
      </c>
      <c r="E6" s="13" t="s">
        <v>26</v>
      </c>
      <c r="F6" s="13" t="s">
        <v>27</v>
      </c>
      <c r="G6" s="13" t="s">
        <v>28</v>
      </c>
      <c r="H6" s="14">
        <v>46091</v>
      </c>
      <c r="I6" s="14">
        <v>46108</v>
      </c>
      <c r="J6" s="15">
        <f>+I6-H6</f>
        <v>17</v>
      </c>
      <c r="K6" s="12">
        <v>85</v>
      </c>
      <c r="L6" s="16" t="s">
        <v>22</v>
      </c>
      <c r="M6" s="13"/>
      <c r="N6" s="12" t="s">
        <v>23</v>
      </c>
    </row>
    <row r="7" spans="1:14" ht="27.95" customHeight="1">
      <c r="A7" s="12">
        <v>4</v>
      </c>
      <c r="B7" s="13" t="s">
        <v>16</v>
      </c>
      <c r="C7" s="13" t="s">
        <v>17</v>
      </c>
      <c r="D7" s="13" t="s">
        <v>18</v>
      </c>
      <c r="E7" s="13" t="s">
        <v>29</v>
      </c>
      <c r="F7" s="13" t="s">
        <v>30</v>
      </c>
      <c r="G7" s="13" t="s">
        <v>31</v>
      </c>
      <c r="H7" s="14">
        <v>46091</v>
      </c>
      <c r="I7" s="14">
        <v>46108</v>
      </c>
      <c r="J7" s="15">
        <f>+I7-H7</f>
        <v>17</v>
      </c>
      <c r="K7" s="12">
        <v>85</v>
      </c>
      <c r="L7" s="16" t="s">
        <v>22</v>
      </c>
      <c r="M7" s="13"/>
      <c r="N7" s="12" t="s">
        <v>23</v>
      </c>
    </row>
    <row r="8" spans="1:14" ht="27.95" customHeight="1">
      <c r="A8" s="12">
        <v>5</v>
      </c>
      <c r="B8" s="13" t="s">
        <v>16</v>
      </c>
      <c r="C8" s="13" t="s">
        <v>17</v>
      </c>
      <c r="D8" s="13" t="s">
        <v>18</v>
      </c>
      <c r="E8" s="13" t="s">
        <v>32</v>
      </c>
      <c r="F8" s="13" t="s">
        <v>33</v>
      </c>
      <c r="G8" s="13" t="s">
        <v>21</v>
      </c>
      <c r="H8" s="14">
        <v>46098</v>
      </c>
      <c r="I8" s="14">
        <v>46132</v>
      </c>
      <c r="J8" s="15">
        <f>+I8-H8</f>
        <v>34</v>
      </c>
      <c r="K8" s="12">
        <v>85</v>
      </c>
      <c r="L8" s="16" t="s">
        <v>34</v>
      </c>
      <c r="M8" s="13"/>
      <c r="N8" s="12" t="s">
        <v>23</v>
      </c>
    </row>
    <row r="9" spans="1:14" ht="27.95" customHeight="1">
      <c r="A9" s="12">
        <v>6</v>
      </c>
      <c r="B9" s="13" t="s">
        <v>16</v>
      </c>
      <c r="C9" s="13" t="s">
        <v>17</v>
      </c>
      <c r="D9" s="13" t="s">
        <v>18</v>
      </c>
      <c r="E9" s="13" t="s">
        <v>35</v>
      </c>
      <c r="F9" s="13" t="s">
        <v>36</v>
      </c>
      <c r="G9" s="13" t="s">
        <v>21</v>
      </c>
      <c r="H9" s="14">
        <v>46113</v>
      </c>
      <c r="I9" s="14">
        <v>46127</v>
      </c>
      <c r="J9" s="15">
        <f>+I9-H9</f>
        <v>14</v>
      </c>
      <c r="K9" s="12">
        <v>20</v>
      </c>
      <c r="L9" s="16" t="s">
        <v>34</v>
      </c>
      <c r="M9" s="13"/>
      <c r="N9" s="12" t="s">
        <v>23</v>
      </c>
    </row>
    <row r="10" spans="1:14" ht="27.95" customHeight="1">
      <c r="A10" s="12">
        <v>7</v>
      </c>
      <c r="B10" s="13" t="s">
        <v>16</v>
      </c>
      <c r="C10" s="13" t="s">
        <v>17</v>
      </c>
      <c r="D10" s="13" t="s">
        <v>18</v>
      </c>
      <c r="E10" s="13" t="s">
        <v>37</v>
      </c>
      <c r="F10" s="13" t="s">
        <v>38</v>
      </c>
      <c r="G10" s="13" t="s">
        <v>21</v>
      </c>
      <c r="H10" s="14">
        <v>46113</v>
      </c>
      <c r="I10" s="14">
        <v>46127</v>
      </c>
      <c r="J10" s="15">
        <v>19</v>
      </c>
      <c r="K10" s="12">
        <v>20</v>
      </c>
      <c r="L10" s="16" t="s">
        <v>34</v>
      </c>
      <c r="M10" s="13"/>
      <c r="N10" s="12" t="s">
        <v>23</v>
      </c>
    </row>
    <row r="11" spans="1:14" ht="27.95" customHeight="1">
      <c r="A11" s="12">
        <v>8</v>
      </c>
      <c r="B11" s="13" t="s">
        <v>16</v>
      </c>
      <c r="C11" s="13" t="s">
        <v>39</v>
      </c>
      <c r="D11" s="13" t="s">
        <v>40</v>
      </c>
      <c r="E11" s="13" t="s">
        <v>41</v>
      </c>
      <c r="F11" s="13" t="s">
        <v>42</v>
      </c>
      <c r="G11" s="13" t="s">
        <v>31</v>
      </c>
      <c r="H11" s="14">
        <v>46098</v>
      </c>
      <c r="I11" s="14">
        <v>46105</v>
      </c>
      <c r="J11" s="12">
        <v>8</v>
      </c>
      <c r="K11" s="12">
        <v>0</v>
      </c>
      <c r="L11" s="16" t="s">
        <v>22</v>
      </c>
      <c r="M11" s="13"/>
      <c r="N11" s="12" t="s">
        <v>23</v>
      </c>
    </row>
    <row r="12" spans="1:14" ht="27.95" customHeight="1">
      <c r="A12" s="12">
        <v>8</v>
      </c>
      <c r="B12" s="13" t="s">
        <v>16</v>
      </c>
      <c r="C12" s="13" t="s">
        <v>39</v>
      </c>
      <c r="D12" s="13" t="s">
        <v>40</v>
      </c>
      <c r="E12" s="13" t="s">
        <v>43</v>
      </c>
      <c r="F12" s="13" t="s">
        <v>44</v>
      </c>
      <c r="G12" s="13" t="s">
        <v>31</v>
      </c>
      <c r="H12" s="14">
        <v>46098</v>
      </c>
      <c r="I12" s="14">
        <v>46105</v>
      </c>
      <c r="J12" s="12">
        <v>8</v>
      </c>
      <c r="K12" s="12">
        <v>0</v>
      </c>
      <c r="L12" s="16" t="s">
        <v>22</v>
      </c>
      <c r="M12" s="13"/>
      <c r="N12" s="12" t="s">
        <v>23</v>
      </c>
    </row>
    <row r="13" spans="1:14" ht="27.95" customHeight="1">
      <c r="A13" s="12">
        <v>14</v>
      </c>
      <c r="B13" s="13" t="s">
        <v>16</v>
      </c>
      <c r="C13" s="13" t="s">
        <v>45</v>
      </c>
      <c r="D13" s="13" t="s">
        <v>46</v>
      </c>
      <c r="E13" s="13" t="s">
        <v>47</v>
      </c>
      <c r="F13" s="13" t="s">
        <v>48</v>
      </c>
      <c r="G13" s="13" t="s">
        <v>21</v>
      </c>
      <c r="H13" s="14">
        <v>46098</v>
      </c>
      <c r="I13" s="14">
        <v>46122</v>
      </c>
      <c r="J13" s="12">
        <v>25</v>
      </c>
      <c r="K13" s="12">
        <v>0</v>
      </c>
      <c r="L13" s="16" t="s">
        <v>22</v>
      </c>
      <c r="M13" s="13"/>
      <c r="N13" s="12" t="s">
        <v>23</v>
      </c>
    </row>
    <row r="14" spans="1:14" ht="27.95" customHeight="1">
      <c r="A14" s="12">
        <v>15</v>
      </c>
      <c r="B14" s="13" t="s">
        <v>16</v>
      </c>
      <c r="C14" s="13" t="s">
        <v>45</v>
      </c>
      <c r="D14" s="13" t="s">
        <v>46</v>
      </c>
      <c r="E14" s="13" t="s">
        <v>49</v>
      </c>
      <c r="F14" s="13" t="s">
        <v>50</v>
      </c>
      <c r="G14" s="13" t="s">
        <v>51</v>
      </c>
      <c r="H14" s="14">
        <v>46113</v>
      </c>
      <c r="I14" s="14">
        <v>46132</v>
      </c>
      <c r="J14" s="12">
        <v>20</v>
      </c>
      <c r="K14" s="12">
        <v>0</v>
      </c>
      <c r="L14" s="13" t="s">
        <v>34</v>
      </c>
      <c r="M14" s="13"/>
      <c r="N14" s="12" t="s">
        <v>23</v>
      </c>
    </row>
    <row r="15" spans="1:14" ht="27.95" customHeight="1">
      <c r="A15" s="12">
        <v>16</v>
      </c>
      <c r="B15" s="13" t="s">
        <v>16</v>
      </c>
      <c r="C15" s="13" t="s">
        <v>45</v>
      </c>
      <c r="D15" s="13" t="s">
        <v>46</v>
      </c>
      <c r="E15" s="13" t="s">
        <v>52</v>
      </c>
      <c r="F15" s="13" t="s">
        <v>53</v>
      </c>
      <c r="G15" s="13" t="s">
        <v>54</v>
      </c>
      <c r="H15" s="14">
        <v>46127</v>
      </c>
      <c r="I15" s="14">
        <v>46152</v>
      </c>
      <c r="J15" s="12">
        <v>26</v>
      </c>
      <c r="K15" s="12">
        <v>0</v>
      </c>
      <c r="L15" s="13" t="s">
        <v>34</v>
      </c>
      <c r="M15" s="13"/>
      <c r="N15" s="12" t="s">
        <v>23</v>
      </c>
    </row>
    <row r="16" spans="1:14" ht="27.95" customHeight="1">
      <c r="A16" s="12">
        <v>17</v>
      </c>
      <c r="B16" s="13" t="s">
        <v>16</v>
      </c>
      <c r="C16" s="13" t="s">
        <v>45</v>
      </c>
      <c r="D16" s="13" t="s">
        <v>46</v>
      </c>
      <c r="E16" s="13" t="s">
        <v>55</v>
      </c>
      <c r="F16" s="13" t="s">
        <v>56</v>
      </c>
      <c r="G16" s="13" t="s">
        <v>57</v>
      </c>
      <c r="H16" s="14">
        <v>46153</v>
      </c>
      <c r="I16" s="14">
        <v>46167</v>
      </c>
      <c r="J16" s="12">
        <v>15</v>
      </c>
      <c r="K16" s="12">
        <v>0</v>
      </c>
      <c r="L16" s="13" t="s">
        <v>34</v>
      </c>
      <c r="M16" s="13"/>
      <c r="N16" s="12" t="s">
        <v>23</v>
      </c>
    </row>
    <row r="17" spans="1:14" ht="27.95" customHeight="1">
      <c r="A17" s="12">
        <v>18</v>
      </c>
      <c r="B17" s="13" t="s">
        <v>16</v>
      </c>
      <c r="C17" s="13" t="s">
        <v>45</v>
      </c>
      <c r="D17" s="13" t="s">
        <v>46</v>
      </c>
      <c r="E17" s="13" t="s">
        <v>58</v>
      </c>
      <c r="F17" s="13" t="s">
        <v>59</v>
      </c>
      <c r="G17" s="13" t="s">
        <v>60</v>
      </c>
      <c r="H17" s="14">
        <v>46168</v>
      </c>
      <c r="I17" s="14">
        <v>46173</v>
      </c>
      <c r="J17" s="12">
        <v>6</v>
      </c>
      <c r="K17" s="12">
        <v>0</v>
      </c>
      <c r="L17" s="13" t="s">
        <v>34</v>
      </c>
      <c r="M17" s="13"/>
      <c r="N17" s="12" t="s">
        <v>23</v>
      </c>
    </row>
    <row r="18" spans="1:14" ht="27.95" customHeight="1">
      <c r="A18" s="12">
        <v>19</v>
      </c>
      <c r="B18" s="13" t="s">
        <v>61</v>
      </c>
      <c r="C18" s="13" t="s">
        <v>62</v>
      </c>
      <c r="D18" s="13" t="s">
        <v>63</v>
      </c>
      <c r="E18" s="13" t="s">
        <v>64</v>
      </c>
      <c r="F18" s="13" t="s">
        <v>65</v>
      </c>
      <c r="G18" s="13" t="s">
        <v>21</v>
      </c>
      <c r="H18" s="14">
        <v>46143</v>
      </c>
      <c r="I18" s="14">
        <v>46162</v>
      </c>
      <c r="J18" s="12">
        <v>20</v>
      </c>
      <c r="K18" s="12">
        <v>0</v>
      </c>
      <c r="L18" s="13" t="s">
        <v>34</v>
      </c>
      <c r="M18" s="13"/>
      <c r="N18" s="12" t="s">
        <v>23</v>
      </c>
    </row>
    <row r="19" spans="1:14" ht="27.95" customHeight="1">
      <c r="A19" s="12">
        <v>20</v>
      </c>
      <c r="B19" s="13" t="s">
        <v>61</v>
      </c>
      <c r="C19" s="13" t="s">
        <v>62</v>
      </c>
      <c r="D19" s="13" t="s">
        <v>63</v>
      </c>
      <c r="E19" s="13" t="s">
        <v>66</v>
      </c>
      <c r="F19" s="13" t="s">
        <v>67</v>
      </c>
      <c r="G19" s="13" t="s">
        <v>68</v>
      </c>
      <c r="H19" s="14">
        <v>46163</v>
      </c>
      <c r="I19" s="14">
        <v>46188</v>
      </c>
      <c r="J19" s="12">
        <v>26</v>
      </c>
      <c r="K19" s="12">
        <v>0</v>
      </c>
      <c r="L19" s="13" t="s">
        <v>34</v>
      </c>
      <c r="M19" s="13"/>
      <c r="N19" s="12" t="s">
        <v>23</v>
      </c>
    </row>
    <row r="20" spans="1:14" ht="27.95" customHeight="1">
      <c r="A20" s="12">
        <v>21</v>
      </c>
      <c r="B20" s="13" t="s">
        <v>61</v>
      </c>
      <c r="C20" s="13" t="s">
        <v>62</v>
      </c>
      <c r="D20" s="13" t="s">
        <v>63</v>
      </c>
      <c r="E20" s="13" t="s">
        <v>69</v>
      </c>
      <c r="F20" s="13" t="s">
        <v>70</v>
      </c>
      <c r="G20" s="13" t="s">
        <v>68</v>
      </c>
      <c r="H20" s="14">
        <v>46174</v>
      </c>
      <c r="I20" s="14">
        <v>46203</v>
      </c>
      <c r="J20" s="12">
        <v>30</v>
      </c>
      <c r="K20" s="12">
        <v>0</v>
      </c>
      <c r="L20" s="13" t="s">
        <v>34</v>
      </c>
      <c r="M20" s="13"/>
      <c r="N20" s="12" t="s">
        <v>23</v>
      </c>
    </row>
    <row r="21" spans="1:14" ht="27.95" customHeight="1">
      <c r="A21" s="12">
        <v>22</v>
      </c>
      <c r="B21" s="13" t="s">
        <v>61</v>
      </c>
      <c r="C21" s="13" t="s">
        <v>62</v>
      </c>
      <c r="D21" s="13" t="s">
        <v>63</v>
      </c>
      <c r="E21" s="13" t="s">
        <v>71</v>
      </c>
      <c r="F21" s="13" t="s">
        <v>72</v>
      </c>
      <c r="G21" s="13" t="s">
        <v>68</v>
      </c>
      <c r="H21" s="14">
        <v>46188</v>
      </c>
      <c r="I21" s="14">
        <v>46218</v>
      </c>
      <c r="J21" s="12">
        <v>31</v>
      </c>
      <c r="K21" s="12">
        <v>0</v>
      </c>
      <c r="L21" s="13" t="s">
        <v>34</v>
      </c>
      <c r="M21" s="13"/>
      <c r="N21" s="12" t="s">
        <v>23</v>
      </c>
    </row>
    <row r="22" spans="1:14" ht="27.95" customHeight="1">
      <c r="A22" s="12">
        <v>23</v>
      </c>
      <c r="B22" s="13" t="s">
        <v>61</v>
      </c>
      <c r="C22" s="13" t="s">
        <v>62</v>
      </c>
      <c r="D22" s="13" t="s">
        <v>63</v>
      </c>
      <c r="E22" s="13" t="s">
        <v>73</v>
      </c>
      <c r="F22" s="13" t="s">
        <v>74</v>
      </c>
      <c r="G22" s="13" t="s">
        <v>68</v>
      </c>
      <c r="H22" s="14">
        <v>46174</v>
      </c>
      <c r="I22" s="14">
        <v>46218</v>
      </c>
      <c r="J22" s="12">
        <v>45</v>
      </c>
      <c r="K22" s="12">
        <v>0</v>
      </c>
      <c r="L22" s="13" t="s">
        <v>34</v>
      </c>
      <c r="M22" s="13"/>
      <c r="N22" s="12" t="s">
        <v>23</v>
      </c>
    </row>
    <row r="23" spans="1:14" ht="27.95" customHeight="1">
      <c r="A23" s="12">
        <v>24</v>
      </c>
      <c r="B23" s="13" t="s">
        <v>61</v>
      </c>
      <c r="C23" s="13" t="s">
        <v>62</v>
      </c>
      <c r="D23" s="13" t="s">
        <v>63</v>
      </c>
      <c r="E23" s="13" t="s">
        <v>75</v>
      </c>
      <c r="F23" s="13" t="s">
        <v>76</v>
      </c>
      <c r="G23" s="13" t="s">
        <v>77</v>
      </c>
      <c r="H23" s="14">
        <v>46219</v>
      </c>
      <c r="I23" s="14">
        <v>46249</v>
      </c>
      <c r="J23" s="12">
        <v>31</v>
      </c>
      <c r="K23" s="12">
        <v>0</v>
      </c>
      <c r="L23" s="13" t="s">
        <v>34</v>
      </c>
      <c r="M23" s="13"/>
      <c r="N23" s="12" t="s">
        <v>23</v>
      </c>
    </row>
    <row r="24" spans="1:14" ht="27.95" customHeight="1">
      <c r="A24" s="12">
        <v>25</v>
      </c>
      <c r="B24" s="13" t="s">
        <v>61</v>
      </c>
      <c r="C24" s="13" t="s">
        <v>62</v>
      </c>
      <c r="D24" s="13" t="s">
        <v>63</v>
      </c>
      <c r="E24" s="13" t="s">
        <v>78</v>
      </c>
      <c r="F24" s="13" t="s">
        <v>79</v>
      </c>
      <c r="G24" s="13" t="s">
        <v>80</v>
      </c>
      <c r="H24" s="14">
        <v>46250</v>
      </c>
      <c r="I24" s="14">
        <v>46280</v>
      </c>
      <c r="J24" s="12">
        <v>31</v>
      </c>
      <c r="K24" s="12">
        <v>0</v>
      </c>
      <c r="L24" s="13" t="s">
        <v>34</v>
      </c>
      <c r="M24" s="13"/>
      <c r="N24" s="12" t="s">
        <v>23</v>
      </c>
    </row>
    <row r="25" spans="1:14" ht="27.95" customHeight="1">
      <c r="A25" s="12">
        <v>26</v>
      </c>
      <c r="B25" s="13" t="s">
        <v>61</v>
      </c>
      <c r="C25" s="13" t="s">
        <v>81</v>
      </c>
      <c r="D25" s="13" t="s">
        <v>63</v>
      </c>
      <c r="E25" s="13" t="s">
        <v>82</v>
      </c>
      <c r="F25" s="13" t="s">
        <v>83</v>
      </c>
      <c r="G25" s="13" t="s">
        <v>68</v>
      </c>
      <c r="H25" s="14">
        <v>46143</v>
      </c>
      <c r="I25" s="14">
        <v>46173</v>
      </c>
      <c r="J25" s="12">
        <v>31</v>
      </c>
      <c r="K25" s="12">
        <v>0</v>
      </c>
      <c r="L25" s="13" t="s">
        <v>34</v>
      </c>
      <c r="M25" s="13"/>
      <c r="N25" s="12" t="s">
        <v>23</v>
      </c>
    </row>
    <row r="26" spans="1:14" ht="27.95" customHeight="1">
      <c r="A26" s="12">
        <v>27</v>
      </c>
      <c r="B26" s="13" t="s">
        <v>61</v>
      </c>
      <c r="C26" s="13" t="s">
        <v>81</v>
      </c>
      <c r="D26" s="13" t="s">
        <v>63</v>
      </c>
      <c r="E26" s="13" t="s">
        <v>84</v>
      </c>
      <c r="F26" s="13" t="s">
        <v>85</v>
      </c>
      <c r="G26" s="13" t="s">
        <v>86</v>
      </c>
      <c r="H26" s="14">
        <v>46174</v>
      </c>
      <c r="I26" s="14">
        <v>46203</v>
      </c>
      <c r="J26" s="12">
        <v>30</v>
      </c>
      <c r="K26" s="12">
        <v>0</v>
      </c>
      <c r="L26" s="13" t="s">
        <v>34</v>
      </c>
      <c r="M26" s="13"/>
      <c r="N26" s="12" t="s">
        <v>23</v>
      </c>
    </row>
    <row r="27" spans="1:14" ht="27.95" customHeight="1">
      <c r="A27" s="12">
        <v>26</v>
      </c>
      <c r="B27" s="13" t="s">
        <v>61</v>
      </c>
      <c r="C27" s="13" t="s">
        <v>81</v>
      </c>
      <c r="D27" s="13" t="s">
        <v>63</v>
      </c>
      <c r="E27" s="13" t="s">
        <v>87</v>
      </c>
      <c r="F27" s="13" t="s">
        <v>88</v>
      </c>
      <c r="G27" s="13" t="s">
        <v>68</v>
      </c>
      <c r="H27" s="14">
        <v>46204</v>
      </c>
      <c r="I27" s="14">
        <v>46234</v>
      </c>
      <c r="J27" s="12">
        <v>31</v>
      </c>
      <c r="K27" s="12">
        <v>0</v>
      </c>
      <c r="L27" s="13" t="s">
        <v>34</v>
      </c>
      <c r="M27" s="13"/>
      <c r="N27" s="12" t="s">
        <v>23</v>
      </c>
    </row>
    <row r="28" spans="1:14" ht="27.95" customHeight="1">
      <c r="A28" s="12">
        <v>25</v>
      </c>
      <c r="B28" s="13" t="s">
        <v>61</v>
      </c>
      <c r="C28" s="13" t="s">
        <v>81</v>
      </c>
      <c r="D28" s="13" t="s">
        <v>63</v>
      </c>
      <c r="E28" s="13" t="s">
        <v>89</v>
      </c>
      <c r="F28" s="13" t="s">
        <v>90</v>
      </c>
      <c r="G28" s="13" t="s">
        <v>91</v>
      </c>
      <c r="H28" s="14">
        <v>46235</v>
      </c>
      <c r="I28" s="14">
        <v>46265</v>
      </c>
      <c r="J28" s="12">
        <v>31</v>
      </c>
      <c r="K28" s="12">
        <v>0</v>
      </c>
      <c r="L28" s="13" t="s">
        <v>34</v>
      </c>
      <c r="M28" s="13"/>
      <c r="N28" s="12" t="s">
        <v>23</v>
      </c>
    </row>
    <row r="29" spans="1:14" ht="27.95" customHeight="1">
      <c r="A29" s="12">
        <v>24</v>
      </c>
      <c r="B29" s="13" t="s">
        <v>61</v>
      </c>
      <c r="C29" s="13" t="s">
        <v>81</v>
      </c>
      <c r="D29" s="13" t="s">
        <v>63</v>
      </c>
      <c r="E29" s="13" t="s">
        <v>92</v>
      </c>
      <c r="F29" s="13" t="s">
        <v>93</v>
      </c>
      <c r="G29" s="13" t="s">
        <v>94</v>
      </c>
      <c r="H29" s="14">
        <v>46266</v>
      </c>
      <c r="I29" s="14">
        <v>46295</v>
      </c>
      <c r="J29" s="12">
        <v>30</v>
      </c>
      <c r="K29" s="12">
        <v>0</v>
      </c>
      <c r="L29" s="13" t="s">
        <v>34</v>
      </c>
      <c r="M29" s="13"/>
      <c r="N29" s="12" t="s">
        <v>23</v>
      </c>
    </row>
    <row r="30" spans="1:14" ht="27.95" customHeight="1">
      <c r="A30" s="12">
        <v>23</v>
      </c>
      <c r="B30" s="13" t="s">
        <v>61</v>
      </c>
      <c r="C30" s="13" t="s">
        <v>95</v>
      </c>
      <c r="D30" s="13" t="s">
        <v>63</v>
      </c>
      <c r="E30" s="13" t="s">
        <v>96</v>
      </c>
      <c r="F30" s="13" t="s">
        <v>97</v>
      </c>
      <c r="G30" s="13" t="s">
        <v>98</v>
      </c>
      <c r="H30" s="14">
        <v>46157</v>
      </c>
      <c r="I30" s="14">
        <v>46188</v>
      </c>
      <c r="J30" s="12">
        <v>32</v>
      </c>
      <c r="K30" s="12">
        <v>0</v>
      </c>
      <c r="L30" s="13" t="s">
        <v>34</v>
      </c>
      <c r="M30" s="13"/>
      <c r="N30" s="12" t="s">
        <v>23</v>
      </c>
    </row>
    <row r="31" spans="1:14" ht="27.95" customHeight="1">
      <c r="A31" s="12">
        <v>22</v>
      </c>
      <c r="B31" s="13" t="s">
        <v>61</v>
      </c>
      <c r="C31" s="13" t="s">
        <v>95</v>
      </c>
      <c r="D31" s="13" t="s">
        <v>63</v>
      </c>
      <c r="E31" s="13" t="s">
        <v>99</v>
      </c>
      <c r="F31" s="13" t="s">
        <v>100</v>
      </c>
      <c r="G31" s="13" t="s">
        <v>80</v>
      </c>
      <c r="H31" s="14">
        <v>46189</v>
      </c>
      <c r="I31" s="14">
        <v>46218</v>
      </c>
      <c r="J31" s="12">
        <v>30</v>
      </c>
      <c r="K31" s="12">
        <v>0</v>
      </c>
      <c r="L31" s="13" t="s">
        <v>34</v>
      </c>
      <c r="M31" s="13"/>
      <c r="N31" s="12" t="s">
        <v>23</v>
      </c>
    </row>
    <row r="32" spans="1:14" ht="27.95" customHeight="1">
      <c r="A32" s="12">
        <v>21</v>
      </c>
      <c r="B32" s="13" t="s">
        <v>61</v>
      </c>
      <c r="C32" s="13" t="s">
        <v>95</v>
      </c>
      <c r="D32" s="13" t="s">
        <v>63</v>
      </c>
      <c r="E32" s="13" t="s">
        <v>101</v>
      </c>
      <c r="F32" s="13" t="s">
        <v>102</v>
      </c>
      <c r="G32" s="13" t="s">
        <v>68</v>
      </c>
      <c r="H32" s="14">
        <v>46219</v>
      </c>
      <c r="I32" s="14">
        <v>46265</v>
      </c>
      <c r="J32" s="12">
        <v>47</v>
      </c>
      <c r="K32" s="12">
        <v>0</v>
      </c>
      <c r="L32" s="13" t="s">
        <v>34</v>
      </c>
      <c r="M32" s="13"/>
      <c r="N32" s="12" t="s">
        <v>23</v>
      </c>
    </row>
    <row r="33" spans="1:14" ht="27.95" customHeight="1">
      <c r="A33" s="12">
        <v>20</v>
      </c>
      <c r="B33" s="13" t="s">
        <v>61</v>
      </c>
      <c r="C33" s="13" t="s">
        <v>95</v>
      </c>
      <c r="D33" s="13" t="s">
        <v>63</v>
      </c>
      <c r="E33" s="13" t="s">
        <v>103</v>
      </c>
      <c r="F33" s="13" t="s">
        <v>104</v>
      </c>
      <c r="G33" s="13" t="s">
        <v>105</v>
      </c>
      <c r="H33" s="14">
        <v>46266</v>
      </c>
      <c r="I33" s="14">
        <v>46310</v>
      </c>
      <c r="J33" s="12">
        <v>45</v>
      </c>
      <c r="K33" s="12">
        <v>0</v>
      </c>
      <c r="L33" s="13" t="s">
        <v>34</v>
      </c>
      <c r="M33" s="13"/>
      <c r="N33" s="12" t="s">
        <v>23</v>
      </c>
    </row>
    <row r="34" spans="1:14" ht="27.95" customHeight="1">
      <c r="A34" s="12">
        <v>19</v>
      </c>
      <c r="B34" s="13" t="s">
        <v>61</v>
      </c>
      <c r="C34" s="13" t="s">
        <v>106</v>
      </c>
      <c r="D34" s="13" t="s">
        <v>107</v>
      </c>
      <c r="E34" s="13" t="s">
        <v>108</v>
      </c>
      <c r="F34" s="13" t="s">
        <v>109</v>
      </c>
      <c r="G34" s="13" t="s">
        <v>110</v>
      </c>
      <c r="H34" s="14">
        <v>46157</v>
      </c>
      <c r="I34" s="14">
        <v>46174</v>
      </c>
      <c r="J34" s="12">
        <v>18</v>
      </c>
      <c r="K34" s="12">
        <v>0</v>
      </c>
      <c r="L34" s="13" t="s">
        <v>34</v>
      </c>
      <c r="M34" s="13"/>
      <c r="N34" s="12" t="s">
        <v>23</v>
      </c>
    </row>
    <row r="35" spans="1:14" ht="27.95" customHeight="1">
      <c r="A35" s="12">
        <v>18</v>
      </c>
      <c r="B35" s="13" t="s">
        <v>61</v>
      </c>
      <c r="C35" s="13" t="s">
        <v>106</v>
      </c>
      <c r="D35" s="13" t="s">
        <v>107</v>
      </c>
      <c r="E35" s="13" t="s">
        <v>111</v>
      </c>
      <c r="F35" s="13" t="s">
        <v>112</v>
      </c>
      <c r="G35" s="13" t="s">
        <v>110</v>
      </c>
      <c r="H35" s="14">
        <v>46174</v>
      </c>
      <c r="I35" s="14">
        <v>46203</v>
      </c>
      <c r="J35" s="12">
        <v>30</v>
      </c>
      <c r="K35" s="12">
        <v>0</v>
      </c>
      <c r="L35" s="13" t="s">
        <v>34</v>
      </c>
      <c r="M35" s="13"/>
      <c r="N35" s="12" t="s">
        <v>23</v>
      </c>
    </row>
    <row r="36" spans="1:14" ht="27.95" customHeight="1">
      <c r="A36" s="12">
        <v>17</v>
      </c>
      <c r="B36" s="13" t="s">
        <v>61</v>
      </c>
      <c r="C36" s="13" t="s">
        <v>106</v>
      </c>
      <c r="D36" s="13" t="s">
        <v>107</v>
      </c>
      <c r="E36" s="13" t="s">
        <v>113</v>
      </c>
      <c r="F36" s="13" t="s">
        <v>114</v>
      </c>
      <c r="G36" s="13" t="s">
        <v>105</v>
      </c>
      <c r="H36" s="14">
        <v>46204</v>
      </c>
      <c r="I36" s="14">
        <v>46234</v>
      </c>
      <c r="J36" s="12">
        <v>31</v>
      </c>
      <c r="K36" s="12">
        <v>0</v>
      </c>
      <c r="L36" s="13" t="s">
        <v>34</v>
      </c>
      <c r="M36" s="13"/>
      <c r="N36" s="12" t="s">
        <v>23</v>
      </c>
    </row>
    <row r="37" spans="1:14" ht="27.95" customHeight="1">
      <c r="A37" s="12">
        <v>16</v>
      </c>
      <c r="B37" s="13" t="s">
        <v>61</v>
      </c>
      <c r="C37" s="13" t="s">
        <v>106</v>
      </c>
      <c r="D37" s="13" t="s">
        <v>107</v>
      </c>
      <c r="E37" s="13" t="s">
        <v>115</v>
      </c>
      <c r="F37" s="13" t="s">
        <v>116</v>
      </c>
      <c r="G37" s="13" t="s">
        <v>91</v>
      </c>
      <c r="H37" s="14">
        <v>46235</v>
      </c>
      <c r="I37" s="14">
        <v>46265</v>
      </c>
      <c r="J37" s="12">
        <v>31</v>
      </c>
      <c r="K37" s="12">
        <v>0</v>
      </c>
      <c r="L37" s="13" t="s">
        <v>34</v>
      </c>
      <c r="M37" s="13"/>
      <c r="N37" s="12" t="s">
        <v>23</v>
      </c>
    </row>
    <row r="38" spans="1:14" ht="27.95" customHeight="1">
      <c r="A38" s="12">
        <v>15</v>
      </c>
      <c r="B38" s="13" t="s">
        <v>61</v>
      </c>
      <c r="C38" s="13" t="s">
        <v>106</v>
      </c>
      <c r="D38" s="13" t="s">
        <v>107</v>
      </c>
      <c r="E38" s="13" t="s">
        <v>117</v>
      </c>
      <c r="F38" s="13" t="s">
        <v>118</v>
      </c>
      <c r="G38" s="13" t="s">
        <v>94</v>
      </c>
      <c r="H38" s="14">
        <v>46266</v>
      </c>
      <c r="I38" s="14">
        <v>46295</v>
      </c>
      <c r="J38" s="12">
        <v>30</v>
      </c>
      <c r="K38" s="12">
        <v>0</v>
      </c>
      <c r="L38" s="13" t="s">
        <v>34</v>
      </c>
      <c r="M38" s="13"/>
      <c r="N38" s="12" t="s">
        <v>23</v>
      </c>
    </row>
    <row r="39" spans="1:14" ht="27.95" customHeight="1">
      <c r="A39" s="12">
        <v>14</v>
      </c>
      <c r="B39" s="13" t="s">
        <v>61</v>
      </c>
      <c r="C39" s="13" t="s">
        <v>119</v>
      </c>
      <c r="D39" s="13" t="s">
        <v>107</v>
      </c>
      <c r="E39" s="13" t="s">
        <v>120</v>
      </c>
      <c r="F39" s="13" t="s">
        <v>121</v>
      </c>
      <c r="G39" s="13" t="s">
        <v>31</v>
      </c>
      <c r="H39" s="14">
        <v>46174</v>
      </c>
      <c r="I39" s="14">
        <v>46193</v>
      </c>
      <c r="J39" s="12">
        <v>20</v>
      </c>
      <c r="K39" s="12">
        <v>0</v>
      </c>
      <c r="L39" s="13" t="s">
        <v>34</v>
      </c>
      <c r="M39" s="13"/>
      <c r="N39" s="12" t="s">
        <v>23</v>
      </c>
    </row>
    <row r="40" spans="1:14" ht="27.95" customHeight="1">
      <c r="A40" s="12">
        <v>13</v>
      </c>
      <c r="B40" s="13" t="s">
        <v>61</v>
      </c>
      <c r="C40" s="13" t="s">
        <v>119</v>
      </c>
      <c r="D40" s="13" t="s">
        <v>107</v>
      </c>
      <c r="E40" s="13" t="s">
        <v>122</v>
      </c>
      <c r="F40" s="13" t="s">
        <v>123</v>
      </c>
      <c r="G40" s="13" t="s">
        <v>80</v>
      </c>
      <c r="H40" s="14">
        <v>46194</v>
      </c>
      <c r="I40" s="14">
        <v>46223</v>
      </c>
      <c r="J40" s="12">
        <v>30</v>
      </c>
      <c r="K40" s="12">
        <v>0</v>
      </c>
      <c r="L40" s="13" t="s">
        <v>34</v>
      </c>
      <c r="M40" s="13"/>
      <c r="N40" s="12" t="s">
        <v>23</v>
      </c>
    </row>
    <row r="41" spans="1:14" ht="27.95" customHeight="1">
      <c r="A41" s="12">
        <v>12</v>
      </c>
      <c r="B41" s="13" t="s">
        <v>61</v>
      </c>
      <c r="C41" s="13" t="s">
        <v>119</v>
      </c>
      <c r="D41" s="13" t="s">
        <v>107</v>
      </c>
      <c r="E41" s="13" t="s">
        <v>124</v>
      </c>
      <c r="F41" s="13" t="s">
        <v>125</v>
      </c>
      <c r="G41" s="13" t="s">
        <v>126</v>
      </c>
      <c r="H41" s="14">
        <v>46224</v>
      </c>
      <c r="I41" s="14">
        <v>46254</v>
      </c>
      <c r="J41" s="12">
        <v>31</v>
      </c>
      <c r="K41" s="12">
        <v>0</v>
      </c>
      <c r="L41" s="13" t="s">
        <v>34</v>
      </c>
      <c r="M41" s="13"/>
      <c r="N41" s="12" t="s">
        <v>23</v>
      </c>
    </row>
    <row r="42" spans="1:14" ht="27.95" customHeight="1">
      <c r="A42" s="12">
        <v>11</v>
      </c>
      <c r="B42" s="13" t="s">
        <v>61</v>
      </c>
      <c r="C42" s="13" t="s">
        <v>119</v>
      </c>
      <c r="D42" s="13" t="s">
        <v>107</v>
      </c>
      <c r="E42" s="13" t="s">
        <v>127</v>
      </c>
      <c r="F42" s="13" t="s">
        <v>128</v>
      </c>
      <c r="G42" s="13" t="s">
        <v>94</v>
      </c>
      <c r="H42" s="14">
        <v>46255</v>
      </c>
      <c r="I42" s="14">
        <v>46295</v>
      </c>
      <c r="J42" s="12">
        <v>41</v>
      </c>
      <c r="K42" s="12">
        <v>0</v>
      </c>
      <c r="L42" s="13" t="s">
        <v>34</v>
      </c>
      <c r="M42" s="13"/>
      <c r="N42" s="12" t="s">
        <v>23</v>
      </c>
    </row>
    <row r="43" spans="1:14" ht="27.95" customHeight="1">
      <c r="A43" s="12">
        <v>10</v>
      </c>
      <c r="B43" s="13" t="s">
        <v>61</v>
      </c>
      <c r="C43" s="13" t="s">
        <v>129</v>
      </c>
      <c r="D43" s="13" t="s">
        <v>130</v>
      </c>
      <c r="E43" s="13" t="s">
        <v>131</v>
      </c>
      <c r="F43" s="13" t="s">
        <v>132</v>
      </c>
      <c r="G43" s="13" t="s">
        <v>133</v>
      </c>
      <c r="H43" s="14">
        <v>46143</v>
      </c>
      <c r="I43" s="14">
        <v>46167</v>
      </c>
      <c r="J43" s="12">
        <v>25</v>
      </c>
      <c r="K43" s="12">
        <v>0</v>
      </c>
      <c r="L43" s="13" t="s">
        <v>34</v>
      </c>
      <c r="M43" s="13"/>
      <c r="N43" s="12" t="s">
        <v>23</v>
      </c>
    </row>
    <row r="44" spans="1:14" ht="27.95" customHeight="1">
      <c r="A44" s="12">
        <v>9</v>
      </c>
      <c r="B44" s="13" t="s">
        <v>61</v>
      </c>
      <c r="C44" s="13" t="s">
        <v>129</v>
      </c>
      <c r="D44" s="13" t="s">
        <v>130</v>
      </c>
      <c r="E44" s="13" t="s">
        <v>134</v>
      </c>
      <c r="F44" s="13" t="s">
        <v>135</v>
      </c>
      <c r="G44" s="13" t="s">
        <v>136</v>
      </c>
      <c r="H44" s="14">
        <v>46168</v>
      </c>
      <c r="I44" s="14">
        <v>46218</v>
      </c>
      <c r="J44" s="12">
        <v>51</v>
      </c>
      <c r="K44" s="12">
        <v>0</v>
      </c>
      <c r="L44" s="13" t="s">
        <v>34</v>
      </c>
      <c r="M44" s="13" t="s">
        <v>137</v>
      </c>
      <c r="N44" s="12" t="s">
        <v>23</v>
      </c>
    </row>
    <row r="45" spans="1:14" ht="27.95" customHeight="1">
      <c r="A45" s="12">
        <v>8</v>
      </c>
      <c r="B45" s="13" t="s">
        <v>61</v>
      </c>
      <c r="C45" s="13" t="s">
        <v>129</v>
      </c>
      <c r="D45" s="13" t="s">
        <v>130</v>
      </c>
      <c r="E45" s="13" t="s">
        <v>138</v>
      </c>
      <c r="F45" s="13" t="s">
        <v>139</v>
      </c>
      <c r="G45" s="13" t="s">
        <v>110</v>
      </c>
      <c r="H45" s="14">
        <v>46219</v>
      </c>
      <c r="I45" s="14">
        <v>46249</v>
      </c>
      <c r="J45" s="12">
        <v>31</v>
      </c>
      <c r="K45" s="12">
        <v>0</v>
      </c>
      <c r="L45" s="13" t="s">
        <v>34</v>
      </c>
      <c r="M45" s="13"/>
      <c r="N45" s="12" t="s">
        <v>23</v>
      </c>
    </row>
    <row r="46" spans="1:14" ht="27.95" customHeight="1">
      <c r="A46" s="12">
        <v>7</v>
      </c>
      <c r="B46" s="13" t="s">
        <v>61</v>
      </c>
      <c r="C46" s="13" t="s">
        <v>129</v>
      </c>
      <c r="D46" s="13" t="s">
        <v>130</v>
      </c>
      <c r="E46" s="13" t="s">
        <v>140</v>
      </c>
      <c r="F46" s="13" t="s">
        <v>141</v>
      </c>
      <c r="G46" s="13" t="s">
        <v>91</v>
      </c>
      <c r="H46" s="14">
        <v>46250</v>
      </c>
      <c r="I46" s="14">
        <v>46280</v>
      </c>
      <c r="J46" s="12">
        <v>31</v>
      </c>
      <c r="K46" s="12">
        <v>0</v>
      </c>
      <c r="L46" s="13" t="s">
        <v>34</v>
      </c>
      <c r="M46" s="13"/>
      <c r="N46" s="12" t="s">
        <v>23</v>
      </c>
    </row>
    <row r="47" spans="1:14" ht="27.95" customHeight="1">
      <c r="A47" s="12">
        <v>6</v>
      </c>
      <c r="B47" s="13" t="s">
        <v>61</v>
      </c>
      <c r="C47" s="13" t="s">
        <v>129</v>
      </c>
      <c r="D47" s="13" t="s">
        <v>130</v>
      </c>
      <c r="E47" s="13" t="s">
        <v>142</v>
      </c>
      <c r="F47" s="13" t="s">
        <v>143</v>
      </c>
      <c r="G47" s="13" t="s">
        <v>54</v>
      </c>
      <c r="H47" s="14">
        <v>46281</v>
      </c>
      <c r="I47" s="14">
        <v>46310</v>
      </c>
      <c r="J47" s="12">
        <v>30</v>
      </c>
      <c r="K47" s="12">
        <v>0</v>
      </c>
      <c r="L47" s="13" t="s">
        <v>34</v>
      </c>
      <c r="M47" s="13"/>
      <c r="N47" s="12" t="s">
        <v>23</v>
      </c>
    </row>
  </sheetData>
  <mergeCells count="2">
    <mergeCell ref="A2:N2"/>
    <mergeCell ref="A1:N1"/>
  </mergeCells>
  <dataValidations count="2">
    <dataValidation type="list" sqref="L4:L47" xr:uid="{00000000-0002-0000-0000-000000000000}">
      <formula1>"Pendiente,En Progreso,Completado,Bloqueado,En Revisión"</formula1>
    </dataValidation>
    <dataValidation type="whole" sqref="K4:K47" xr:uid="{00000000-0002-0000-0000-000001000000}">
      <formula1>0</formula1>
      <formula2>100</formula2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5"/>
  <cols>
    <col min="1" max="1" width="20" customWidth="1"/>
    <col min="2" max="2" width="35" customWidth="1"/>
  </cols>
  <sheetData>
    <row r="1" spans="1:2">
      <c r="A1" s="1" t="s">
        <v>144</v>
      </c>
      <c r="B1" s="2" t="s">
        <v>145</v>
      </c>
    </row>
    <row r="2" spans="1:2">
      <c r="A2" s="3" t="s">
        <v>34</v>
      </c>
      <c r="B2" s="4" t="s">
        <v>146</v>
      </c>
    </row>
    <row r="3" spans="1:2">
      <c r="A3" s="5" t="s">
        <v>22</v>
      </c>
      <c r="B3" s="4" t="s">
        <v>147</v>
      </c>
    </row>
    <row r="4" spans="1:2">
      <c r="A4" s="6" t="s">
        <v>148</v>
      </c>
      <c r="B4" s="4" t="s">
        <v>149</v>
      </c>
    </row>
    <row r="5" spans="1:2">
      <c r="A5" s="7" t="s">
        <v>150</v>
      </c>
      <c r="B5" s="4" t="s">
        <v>151</v>
      </c>
    </row>
    <row r="6" spans="1:2">
      <c r="A6" s="8" t="s">
        <v>152</v>
      </c>
      <c r="B6" s="4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2026-03-17T13:44:27Z</dcterms:created>
  <dcterms:modified xsi:type="dcterms:W3CDTF">2026-03-23T15:12:48Z</dcterms:modified>
  <cp:category/>
  <cp:contentStatus/>
</cp:coreProperties>
</file>